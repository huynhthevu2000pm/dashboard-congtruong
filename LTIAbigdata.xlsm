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b14b62155f954db/00_LTIA_G11_5/01_Loading/000_VH/dashboard-congtruong/"/>
    </mc:Choice>
  </mc:AlternateContent>
  <xr:revisionPtr revIDLastSave="176" documentId="8_{5E999DDD-8C80-4DF4-B3F2-70C13D21120B}" xr6:coauthVersionLast="47" xr6:coauthVersionMax="47" xr10:uidLastSave="{861C3AB4-6E0B-4531-B24C-F9BC647F09F8}"/>
  <bookViews>
    <workbookView xWindow="38295" yWindow="5355" windowWidth="18240" windowHeight="15585" xr2:uid="{00000000-000D-0000-FFFF-FFFF00000000}"/>
  </bookViews>
  <sheets>
    <sheet name="DATA" sheetId="1" r:id="rId1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" l="1"/>
  <c r="U3" i="1"/>
  <c r="V3" i="1"/>
  <c r="W3" i="1"/>
  <c r="X3" i="1"/>
  <c r="T4" i="1"/>
  <c r="U4" i="1"/>
  <c r="V4" i="1"/>
  <c r="W4" i="1"/>
  <c r="X4" i="1"/>
  <c r="X2" i="1"/>
  <c r="W2" i="1"/>
  <c r="V2" i="1"/>
  <c r="U2" i="1"/>
  <c r="T2" i="1"/>
  <c r="S4" i="1"/>
  <c r="S3" i="1"/>
  <c r="S2" i="1"/>
  <c r="P4" i="1"/>
  <c r="P3" i="1"/>
  <c r="P2" i="1"/>
  <c r="L4" i="1"/>
  <c r="L3" i="1"/>
  <c r="L2" i="1"/>
  <c r="H4" i="1"/>
  <c r="H3" i="1"/>
  <c r="H2" i="1"/>
  <c r="D4" i="1"/>
  <c r="D3" i="1"/>
  <c r="R3" i="1" s="1"/>
  <c r="D2" i="1"/>
  <c r="R4" i="1" l="1"/>
  <c r="R2" i="1"/>
</calcChain>
</file>

<file path=xl/sharedStrings.xml><?xml version="1.0" encoding="utf-8"?>
<sst xmlns="http://schemas.openxmlformats.org/spreadsheetml/2006/main" count="24" uniqueCount="24">
  <si>
    <t>date</t>
  </si>
  <si>
    <t>manpower_Rebar_VQC</t>
  </si>
  <si>
    <t>manpower_Dayworker_VQC</t>
  </si>
  <si>
    <t>manpower_Total_VQC</t>
  </si>
  <si>
    <t>manpower_Rebar_CLC</t>
  </si>
  <si>
    <t>manpower_Dayworker_CLC</t>
  </si>
  <si>
    <t>manpower_Total_CLC</t>
  </si>
  <si>
    <t>manpower_Rebar_CC14</t>
  </si>
  <si>
    <t>manpower_Dayworker_CC14</t>
  </si>
  <si>
    <t>manpower_Total_CC14</t>
  </si>
  <si>
    <t>manpower_Rebar_AT</t>
  </si>
  <si>
    <t>manpower_Dayworker_AT</t>
  </si>
  <si>
    <t>manpower_Total_AT</t>
  </si>
  <si>
    <t>plan_manpower_VQC</t>
  </si>
  <si>
    <t>Total_manpower_CC1</t>
  </si>
  <si>
    <t>plan_manpower_CLC</t>
  </si>
  <si>
    <t>plan_manpower_CC14</t>
  </si>
  <si>
    <t>plan_manpower_AT</t>
  </si>
  <si>
    <t>TotalPlan_manpower_CC1</t>
  </si>
  <si>
    <t>progress_VQC</t>
  </si>
  <si>
    <t>progress_CLC</t>
  </si>
  <si>
    <t>progress_CC14</t>
  </si>
  <si>
    <t>progress_AT</t>
  </si>
  <si>
    <t>progress_CC1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</si>
</sst>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6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4" xfId="0" applyNumberFormat="1" applyBorder="1" applyAlignment="1">
      <alignment horizontal="center" vertical="center" wrapText="1"/>
    </xf>
    <xf numFmtId="9" fontId="0" fillId="0" borderId="4" xfId="0" applyNumberFormat="1" applyBorder="1" applyAlignment="1">
      <alignment horizont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6" xfId="0" applyNumberFormat="1" applyFont="1" applyBorder="1" applyAlignment="1">
      <alignment horizontal="center" vertical="center" wrapText="1"/>
    </xf>
    <xf numFmtId="0" fontId="1" fillId="0" borderId="7" xfId="0" applyNumberFormat="1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0</xdr:row>
          <xdr:rowOff>152400</xdr:rowOff>
        </xdr:from>
        <xdr:to>
          <xdr:col>28</xdr:col>
          <xdr:colOff>438150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Tạo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"/>
  <sheetViews>
    <sheetView tabSelected="1" topLeftCell="V1" zoomScale="85" zoomScaleNormal="85" workbookViewId="0">
      <selection activeCell="AN7" sqref="AN7"/>
    </sheetView>
  </sheetViews>
  <sheetFormatPr defaultRowHeight="15" x14ac:dyDescent="0.25"/>
  <cols>
    <col min="1" max="1" width="11.5703125" style="2" customWidth="1"/>
    <col min="2" max="2" width="12.85546875" style="7" customWidth="1"/>
    <col min="3" max="3" width="12.85546875" style="8" customWidth="1"/>
    <col min="4" max="4" width="12.85546875" style="6" customWidth="1"/>
    <col min="5" max="5" width="12.85546875" style="9" customWidth="1"/>
    <col min="6" max="6" width="12.85546875" style="10" customWidth="1"/>
    <col min="7" max="7" width="12.85546875" style="6" customWidth="1"/>
    <col min="8" max="8" width="12.85546875" style="8" customWidth="1"/>
    <col min="9" max="9" width="12.85546875" style="11" customWidth="1"/>
    <col min="10" max="10" width="12.85546875" style="7" customWidth="1"/>
    <col min="11" max="12" width="12.85546875" style="8" customWidth="1"/>
    <col min="13" max="13" width="12.85546875" style="11" customWidth="1"/>
    <col min="14" max="14" width="12.85546875" style="7" customWidth="1"/>
    <col min="15" max="16" width="12.85546875" style="8" customWidth="1"/>
    <col min="17" max="17" width="13.28515625" style="11" customWidth="1"/>
    <col min="18" max="18" width="13.28515625" style="7" customWidth="1"/>
    <col min="19" max="19" width="13.28515625" style="11" customWidth="1"/>
    <col min="20" max="24" width="13.28515625" style="13" customWidth="1"/>
  </cols>
  <sheetData>
    <row r="1" spans="1:24" ht="45.75" thickBot="1" x14ac:dyDescent="0.3">
      <c r="A1" s="14" t="s">
        <v>0</v>
      </c>
      <c r="B1" s="14" t="s">
        <v>1</v>
      </c>
      <c r="C1" s="15" t="s">
        <v>2</v>
      </c>
      <c r="D1" s="16" t="s">
        <v>3</v>
      </c>
      <c r="E1" s="17" t="s">
        <v>13</v>
      </c>
      <c r="F1" s="14" t="s">
        <v>4</v>
      </c>
      <c r="G1" s="15" t="s">
        <v>5</v>
      </c>
      <c r="H1" s="16" t="s">
        <v>6</v>
      </c>
      <c r="I1" s="17" t="s">
        <v>15</v>
      </c>
      <c r="J1" s="14" t="s">
        <v>7</v>
      </c>
      <c r="K1" s="15" t="s">
        <v>8</v>
      </c>
      <c r="L1" s="16" t="s">
        <v>9</v>
      </c>
      <c r="M1" s="17" t="s">
        <v>16</v>
      </c>
      <c r="N1" s="14" t="s">
        <v>10</v>
      </c>
      <c r="O1" s="15" t="s">
        <v>11</v>
      </c>
      <c r="P1" s="16" t="s">
        <v>12</v>
      </c>
      <c r="Q1" s="17" t="s">
        <v>17</v>
      </c>
      <c r="R1" s="14" t="s">
        <v>14</v>
      </c>
      <c r="S1" s="18" t="s">
        <v>18</v>
      </c>
      <c r="T1" s="19" t="s">
        <v>19</v>
      </c>
      <c r="U1" s="19" t="s">
        <v>20</v>
      </c>
      <c r="V1" s="19" t="s">
        <v>21</v>
      </c>
      <c r="W1" s="19" t="s">
        <v>22</v>
      </c>
      <c r="X1" s="19" t="s">
        <v>23</v>
      </c>
    </row>
    <row r="2" spans="1:24" x14ac:dyDescent="0.25">
      <c r="A2" s="1">
        <v>46113</v>
      </c>
      <c r="B2" s="3">
        <v>1</v>
      </c>
      <c r="C2" s="4">
        <v>120</v>
      </c>
      <c r="D2" s="4">
        <f>SUM(B2:C2)</f>
        <v>121</v>
      </c>
      <c r="E2" s="5">
        <v>31</v>
      </c>
      <c r="F2" s="3">
        <v>3</v>
      </c>
      <c r="G2" s="4">
        <v>90</v>
      </c>
      <c r="H2" s="4">
        <f>SUM(F2:G2)</f>
        <v>93</v>
      </c>
      <c r="I2" s="5">
        <v>31</v>
      </c>
      <c r="J2" s="3">
        <v>6</v>
      </c>
      <c r="K2" s="4">
        <v>90</v>
      </c>
      <c r="L2" s="4">
        <f>SUM(J2:K2)</f>
        <v>96</v>
      </c>
      <c r="M2" s="5">
        <v>42</v>
      </c>
      <c r="N2" s="3">
        <v>6</v>
      </c>
      <c r="O2" s="4">
        <v>41</v>
      </c>
      <c r="P2" s="4">
        <f>SUM(N2:O2)</f>
        <v>47</v>
      </c>
      <c r="Q2" s="5">
        <v>32</v>
      </c>
      <c r="R2" s="3">
        <f>D2+H2+L2+P2</f>
        <v>357</v>
      </c>
      <c r="S2" s="5">
        <f>E2+I2+M2+Q2</f>
        <v>136</v>
      </c>
      <c r="T2" s="12">
        <f>D2/E2</f>
        <v>3.903225806451613</v>
      </c>
      <c r="U2" s="12">
        <f>H2/I2</f>
        <v>3</v>
      </c>
      <c r="V2" s="12">
        <f>L2/M2</f>
        <v>2.2857142857142856</v>
      </c>
      <c r="W2" s="12">
        <f>P2/Q2</f>
        <v>1.46875</v>
      </c>
      <c r="X2" s="12">
        <f>R2/S2</f>
        <v>2.625</v>
      </c>
    </row>
    <row r="3" spans="1:24" x14ac:dyDescent="0.25">
      <c r="A3" s="1">
        <v>46114</v>
      </c>
      <c r="B3" s="3">
        <v>2</v>
      </c>
      <c r="C3" s="4">
        <v>90</v>
      </c>
      <c r="D3" s="4">
        <f>SUM(B3:C3)</f>
        <v>92</v>
      </c>
      <c r="E3" s="5">
        <v>32</v>
      </c>
      <c r="F3" s="3">
        <v>4</v>
      </c>
      <c r="G3" s="4">
        <v>68</v>
      </c>
      <c r="H3" s="4">
        <f>SUM(F3:G3)</f>
        <v>72</v>
      </c>
      <c r="I3" s="5">
        <v>32</v>
      </c>
      <c r="J3" s="3">
        <v>7</v>
      </c>
      <c r="K3" s="4">
        <v>68</v>
      </c>
      <c r="L3" s="4">
        <f>SUM(J3:K3)</f>
        <v>75</v>
      </c>
      <c r="M3" s="5">
        <v>33</v>
      </c>
      <c r="N3" s="3">
        <v>7</v>
      </c>
      <c r="O3" s="4">
        <v>56</v>
      </c>
      <c r="P3" s="4">
        <f>SUM(N3:O3)</f>
        <v>63</v>
      </c>
      <c r="Q3" s="5">
        <v>54</v>
      </c>
      <c r="R3" s="3">
        <f>D3+H3+L3+P3</f>
        <v>302</v>
      </c>
      <c r="S3" s="5">
        <f>E3+I3+M3+Q3</f>
        <v>151</v>
      </c>
      <c r="T3" s="12">
        <f t="shared" ref="T3:T4" si="0">D3/E3</f>
        <v>2.875</v>
      </c>
      <c r="U3" s="12">
        <f t="shared" ref="U3:U4" si="1">H3/I3</f>
        <v>2.25</v>
      </c>
      <c r="V3" s="12">
        <f t="shared" ref="V3:V4" si="2">L3/M3</f>
        <v>2.2727272727272729</v>
      </c>
      <c r="W3" s="12">
        <f t="shared" ref="W3:W4" si="3">P3/Q3</f>
        <v>1.1666666666666667</v>
      </c>
      <c r="X3" s="12">
        <f t="shared" ref="X3:X4" si="4">R3/S3</f>
        <v>2</v>
      </c>
    </row>
    <row r="4" spans="1:24" x14ac:dyDescent="0.25">
      <c r="A4" s="1">
        <v>46115</v>
      </c>
      <c r="B4" s="3">
        <v>3</v>
      </c>
      <c r="C4" s="6">
        <v>80</v>
      </c>
      <c r="D4" s="4">
        <f>SUM(B4:C4)</f>
        <v>83</v>
      </c>
      <c r="E4" s="5">
        <v>44</v>
      </c>
      <c r="F4" s="3">
        <v>5</v>
      </c>
      <c r="G4" s="6">
        <v>30</v>
      </c>
      <c r="H4" s="4">
        <f>SUM(F4:G4)</f>
        <v>35</v>
      </c>
      <c r="I4" s="5">
        <v>15</v>
      </c>
      <c r="J4" s="3">
        <v>8</v>
      </c>
      <c r="K4" s="6">
        <v>30</v>
      </c>
      <c r="L4" s="4">
        <f>SUM(J4:K4)</f>
        <v>38</v>
      </c>
      <c r="M4" s="5">
        <v>42</v>
      </c>
      <c r="N4" s="3">
        <v>8</v>
      </c>
      <c r="O4" s="6">
        <v>34</v>
      </c>
      <c r="P4" s="4">
        <f>SUM(N4:O4)</f>
        <v>42</v>
      </c>
      <c r="Q4" s="5">
        <v>12</v>
      </c>
      <c r="R4" s="3">
        <f>D4+H4+L4+P4</f>
        <v>198</v>
      </c>
      <c r="S4" s="5">
        <f>E4+I4+M4+Q4</f>
        <v>113</v>
      </c>
      <c r="T4" s="12">
        <f t="shared" si="0"/>
        <v>1.8863636363636365</v>
      </c>
      <c r="U4" s="12">
        <f t="shared" si="1"/>
        <v>2.3333333333333335</v>
      </c>
      <c r="V4" s="12">
        <f t="shared" si="2"/>
        <v>0.90476190476190477</v>
      </c>
      <c r="W4" s="12">
        <f t="shared" si="3"/>
        <v>3.5</v>
      </c>
      <c r="X4" s="12">
        <f t="shared" si="4"/>
        <v>1.752212389380531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xport_Manpower_JSON">
                <anchor moveWithCells="1" sizeWithCells="1">
                  <from>
                    <xdr:col>25</xdr:col>
                    <xdr:colOff>600075</xdr:colOff>
                    <xdr:row>0</xdr:row>
                    <xdr:rowOff>152400</xdr:rowOff>
                  </from>
                  <to>
                    <xdr:col>28</xdr:col>
                    <xdr:colOff>438150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VUHUYNH</dc:creator>
  <cp:lastModifiedBy>Vũ Huỳnh</cp:lastModifiedBy>
  <dcterms:created xsi:type="dcterms:W3CDTF">2015-06-05T18:17:20Z</dcterms:created>
  <dcterms:modified xsi:type="dcterms:W3CDTF">2026-04-01T09:42:37Z</dcterms:modified>
</cp:coreProperties>
</file>